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324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NANDHANA PRADEEP\Desktop\Nandhana Pradeep\Kgm\Tasks\Excel - Tasks\Task 3 - POS\"/>
    </mc:Choice>
  </mc:AlternateContent>
  <xr:revisionPtr revIDLastSave="0" documentId="13_ncr:1_{3A5A713C-1A22-4DCD-AC07-DCB45169A532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STOCK " sheetId="5" r:id="rId1"/>
    <sheet name="INVOICE" sheetId="6" r:id="rId2"/>
  </sheets>
  <calcPr calcId="191029"/>
</workbook>
</file>

<file path=xl/calcChain.xml><?xml version="1.0" encoding="utf-8"?>
<calcChain xmlns="http://schemas.openxmlformats.org/spreadsheetml/2006/main">
  <c r="E2" i="5" l="1"/>
  <c r="E4" i="5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F20" i="6"/>
  <c r="F19" i="6"/>
  <c r="G19" i="6" s="1"/>
  <c r="C19" i="6"/>
  <c r="B19" i="6"/>
  <c r="E14" i="6"/>
  <c r="E15" i="6"/>
  <c r="E16" i="6"/>
  <c r="E13" i="6"/>
  <c r="C21" i="6"/>
  <c r="C22" i="6"/>
  <c r="C23" i="6"/>
  <c r="C24" i="6"/>
  <c r="C25" i="6"/>
  <c r="C26" i="6"/>
  <c r="C27" i="6"/>
  <c r="C28" i="6"/>
  <c r="C20" i="6"/>
  <c r="B20" i="6" l="1"/>
  <c r="E20" i="5" s="1"/>
  <c r="G20" i="6"/>
  <c r="F21" i="6"/>
  <c r="G21" i="6" s="1"/>
  <c r="F22" i="6"/>
  <c r="G22" i="6" s="1"/>
  <c r="B23" i="6"/>
  <c r="E23" i="5" s="1"/>
  <c r="F23" i="6"/>
  <c r="G23" i="6" s="1"/>
  <c r="B24" i="6"/>
  <c r="E24" i="5" s="1"/>
  <c r="F24" i="6"/>
  <c r="G24" i="6" s="1"/>
  <c r="B25" i="6"/>
  <c r="E25" i="5" s="1"/>
  <c r="F25" i="6"/>
  <c r="G25" i="6" s="1"/>
  <c r="B26" i="6"/>
  <c r="E26" i="5" s="1"/>
  <c r="F26" i="6"/>
  <c r="G26" i="6" s="1"/>
  <c r="B27" i="6"/>
  <c r="E27" i="5" s="1"/>
  <c r="F27" i="6"/>
  <c r="G27" i="6" s="1"/>
  <c r="B28" i="6"/>
  <c r="E28" i="5" s="1"/>
  <c r="F28" i="6"/>
  <c r="G28" i="6" s="1"/>
  <c r="B29" i="6"/>
  <c r="E29" i="5" s="1"/>
  <c r="E30" i="5"/>
  <c r="E31" i="5"/>
  <c r="G8" i="6"/>
  <c r="G29" i="6" l="1"/>
  <c r="G30" i="6" s="1"/>
  <c r="B21" i="6"/>
  <c r="E21" i="5" s="1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22" i="6" l="1"/>
  <c r="E22" i="5" s="1"/>
  <c r="G31" i="6"/>
  <c r="G32" i="6" l="1"/>
</calcChain>
</file>

<file path=xl/sharedStrings.xml><?xml version="1.0" encoding="utf-8"?>
<sst xmlns="http://schemas.openxmlformats.org/spreadsheetml/2006/main" count="90" uniqueCount="86">
  <si>
    <t>Recliners</t>
  </si>
  <si>
    <t>Nesting Tables</t>
  </si>
  <si>
    <t>Bedside Tables</t>
  </si>
  <si>
    <t>Dining Chairs</t>
  </si>
  <si>
    <t>Computer Tables</t>
  </si>
  <si>
    <t>Filing Cabinets</t>
  </si>
  <si>
    <t>Conference Tables</t>
  </si>
  <si>
    <t>Bookshelves</t>
  </si>
  <si>
    <t>Patio Tables and Chairs</t>
  </si>
  <si>
    <t>Hammocks</t>
  </si>
  <si>
    <t>S.NO</t>
  </si>
  <si>
    <t>Footstools</t>
  </si>
  <si>
    <t>King Size Beds</t>
  </si>
  <si>
    <t>Buffets</t>
  </si>
  <si>
    <t>Bar Stools</t>
  </si>
  <si>
    <t>Office Chairs</t>
  </si>
  <si>
    <t>Office Desks</t>
  </si>
  <si>
    <t>Sofa Set</t>
  </si>
  <si>
    <t>Coffee Table</t>
  </si>
  <si>
    <t>TV Stand</t>
  </si>
  <si>
    <t>Wardrobe</t>
  </si>
  <si>
    <t>Dressing Table with Mirror</t>
  </si>
  <si>
    <t>Drawer</t>
  </si>
  <si>
    <t>Bunk Bed</t>
  </si>
  <si>
    <t>Mattresses</t>
  </si>
  <si>
    <t>Dining Table</t>
  </si>
  <si>
    <t>Nightstands</t>
  </si>
  <si>
    <t>Outdoor Sofa</t>
  </si>
  <si>
    <t>Garden Chairs</t>
  </si>
  <si>
    <t>File cabinet</t>
  </si>
  <si>
    <t>UNIT PRICE</t>
  </si>
  <si>
    <t xml:space="preserve">Dining Sets </t>
  </si>
  <si>
    <t>UNIT PRICE (INR)</t>
  </si>
  <si>
    <t>Email ID - classicfurnitures@gmail.com</t>
  </si>
  <si>
    <t>DATE</t>
  </si>
  <si>
    <t xml:space="preserve">BILL TO </t>
  </si>
  <si>
    <t>Name - Pradeep</t>
  </si>
  <si>
    <t>Address - Keeranatham , Coimbatore - 641110</t>
  </si>
  <si>
    <t xml:space="preserve">SHIP TO </t>
  </si>
  <si>
    <t>PROD ID</t>
  </si>
  <si>
    <t>PRODUCT NAME</t>
  </si>
  <si>
    <t>TOTAL AMOUNT</t>
  </si>
  <si>
    <t>CGST(9%)</t>
  </si>
  <si>
    <t>SGST(9%)</t>
  </si>
  <si>
    <t>GRAND TOTAL</t>
  </si>
  <si>
    <t>PRODUCT DESCRIPTION</t>
  </si>
  <si>
    <t>CLASSIC FURNITURES PVT LTD</t>
  </si>
  <si>
    <t>QTY IN STOCK</t>
  </si>
  <si>
    <t>REMAINING QTY</t>
  </si>
  <si>
    <t>TOTAL PRICE</t>
  </si>
  <si>
    <t>INVOICE NO :</t>
  </si>
  <si>
    <t>PROD001</t>
  </si>
  <si>
    <t>PROD002</t>
  </si>
  <si>
    <t>PROD003</t>
  </si>
  <si>
    <t>PROD004</t>
  </si>
  <si>
    <t>PROD005</t>
  </si>
  <si>
    <t>PROD006</t>
  </si>
  <si>
    <t>PROD007</t>
  </si>
  <si>
    <t>PROD008</t>
  </si>
  <si>
    <t>PROD009</t>
  </si>
  <si>
    <t>PROD010</t>
  </si>
  <si>
    <t>PROD011</t>
  </si>
  <si>
    <t>PROD012</t>
  </si>
  <si>
    <t>PROD013</t>
  </si>
  <si>
    <t>PROD014</t>
  </si>
  <si>
    <t>PROD015</t>
  </si>
  <si>
    <t>PROD016</t>
  </si>
  <si>
    <t>PROD017</t>
  </si>
  <si>
    <t>PROD018</t>
  </si>
  <si>
    <t>PROD019</t>
  </si>
  <si>
    <t>PROD020</t>
  </si>
  <si>
    <t>PROD021</t>
  </si>
  <si>
    <t>PROD022</t>
  </si>
  <si>
    <t>PROD023</t>
  </si>
  <si>
    <t>PROD024</t>
  </si>
  <si>
    <t>PROD025</t>
  </si>
  <si>
    <t>PROD026</t>
  </si>
  <si>
    <t>PROD027</t>
  </si>
  <si>
    <t>PROD028</t>
  </si>
  <si>
    <t>PROD029</t>
  </si>
  <si>
    <t>PROD030</t>
  </si>
  <si>
    <t>QUANTITY</t>
  </si>
  <si>
    <t>Contact No - 1234567890</t>
  </si>
  <si>
    <t>Email ID : pradeep@gmail.com</t>
  </si>
  <si>
    <t>Address - Keeranatham , Coimbatore</t>
  </si>
  <si>
    <t>Contact No - (+91) 9876543210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</si>
</sst>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b/>
      <sz val="15"/>
      <color theme="1"/>
      <name val="Times New Roman"/>
      <family val="1"/>
    </font>
    <font>
      <sz val="10"/>
      <color theme="1"/>
      <name val="Times New Roman"/>
      <family val="1"/>
    </font>
    <font>
      <b/>
      <sz val="10"/>
      <color theme="1"/>
      <name val="Times New Roman"/>
      <family val="1"/>
    </font>
    <font>
      <b/>
      <sz val="20"/>
      <color theme="1"/>
      <name val="Times New Roman"/>
      <family val="1"/>
    </font>
    <font>
      <sz val="11"/>
      <color rgb="FF000000"/>
      <name val="Calibri"/>
      <family val="2"/>
    </font>
    <font>
      <b/>
      <sz val="11"/>
      <color theme="0"/>
      <name val="Times New Roman"/>
      <family val="1"/>
    </font>
    <font>
      <b/>
      <sz val="20"/>
      <color theme="0"/>
      <name val="Times New Roman"/>
      <family val="1"/>
    </font>
    <font>
      <b/>
      <sz val="11"/>
      <color theme="0" tint="-4.9989318521683403E-2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theme="6"/>
        <bgColor theme="6"/>
      </patternFill>
    </fill>
    <fill>
      <patternFill patternType="solid">
        <fgColor theme="6" tint="0.59999389629810485"/>
        <bgColor theme="6" tint="0.59999389629810485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EEEEEE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64">
    <xf numFmtId="0" fontId="0" fillId="0" borderId="0" xfId="0"/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/>
    <xf numFmtId="0" fontId="3" fillId="0" borderId="0" xfId="0" applyFont="1" applyAlignment="1">
      <alignment horizontal="center"/>
    </xf>
    <xf numFmtId="0" fontId="1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14" fontId="4" fillId="0" borderId="0" xfId="0" applyNumberFormat="1" applyFont="1" applyAlignment="1">
      <alignment horizontal="center" vertical="center"/>
    </xf>
    <xf numFmtId="0" fontId="5" fillId="0" borderId="0" xfId="0" applyFont="1" applyAlignment="1">
      <alignment vertical="center"/>
    </xf>
    <xf numFmtId="0" fontId="2" fillId="0" borderId="0" xfId="0" applyFont="1"/>
    <xf numFmtId="0" fontId="0" fillId="3" borderId="4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7" fillId="2" borderId="7" xfId="0" applyFont="1" applyFill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6" borderId="7" xfId="0" applyFont="1" applyFill="1" applyBorder="1" applyAlignment="1">
      <alignment horizontal="center" vertical="center"/>
    </xf>
    <xf numFmtId="0" fontId="3" fillId="6" borderId="0" xfId="0" applyFont="1" applyFill="1" applyAlignment="1">
      <alignment horizontal="center" vertical="center"/>
    </xf>
    <xf numFmtId="0" fontId="3" fillId="6" borderId="8" xfId="0" applyFont="1" applyFill="1" applyBorder="1" applyAlignment="1">
      <alignment horizontal="center" vertical="center"/>
    </xf>
    <xf numFmtId="0" fontId="3" fillId="6" borderId="7" xfId="0" applyFont="1" applyFill="1" applyBorder="1"/>
    <xf numFmtId="0" fontId="3" fillId="6" borderId="0" xfId="0" applyFont="1" applyFill="1"/>
    <xf numFmtId="0" fontId="4" fillId="6" borderId="0" xfId="0" applyFont="1" applyFill="1" applyAlignment="1">
      <alignment horizontal="right" vertical="center"/>
    </xf>
    <xf numFmtId="14" fontId="4" fillId="6" borderId="8" xfId="0" applyNumberFormat="1" applyFont="1" applyFill="1" applyBorder="1" applyAlignment="1">
      <alignment horizontal="center" vertical="center"/>
    </xf>
    <xf numFmtId="0" fontId="3" fillId="6" borderId="8" xfId="0" applyFont="1" applyFill="1" applyBorder="1"/>
    <xf numFmtId="0" fontId="3" fillId="6" borderId="0" xfId="0" applyFont="1" applyFill="1" applyAlignment="1">
      <alignment horizontal="center"/>
    </xf>
    <xf numFmtId="0" fontId="3" fillId="6" borderId="8" xfId="0" applyFont="1" applyFill="1" applyBorder="1" applyAlignment="1">
      <alignment horizontal="center"/>
    </xf>
    <xf numFmtId="0" fontId="4" fillId="6" borderId="0" xfId="0" applyFont="1" applyFill="1" applyAlignment="1">
      <alignment horizontal="left" vertical="center"/>
    </xf>
    <xf numFmtId="0" fontId="3" fillId="6" borderId="7" xfId="0" applyFont="1" applyFill="1" applyBorder="1" applyAlignment="1">
      <alignment horizontal="center"/>
    </xf>
    <xf numFmtId="0" fontId="4" fillId="6" borderId="7" xfId="0" applyFont="1" applyFill="1" applyBorder="1" applyAlignment="1">
      <alignment horizontal="center" vertical="center"/>
    </xf>
    <xf numFmtId="0" fontId="9" fillId="5" borderId="1" xfId="0" applyFont="1" applyFill="1" applyBorder="1" applyAlignment="1">
      <alignment horizontal="center" vertical="center"/>
    </xf>
    <xf numFmtId="0" fontId="9" fillId="5" borderId="3" xfId="0" applyFont="1" applyFill="1" applyBorder="1" applyAlignment="1">
      <alignment horizontal="center" vertical="center"/>
    </xf>
    <xf numFmtId="0" fontId="9" fillId="5" borderId="1" xfId="0" applyFont="1" applyFill="1" applyBorder="1" applyAlignment="1">
      <alignment horizontal="right" vertical="center"/>
    </xf>
    <xf numFmtId="0" fontId="3" fillId="6" borderId="1" xfId="0" applyFont="1" applyFill="1" applyBorder="1" applyAlignment="1">
      <alignment horizontal="center" vertical="center"/>
    </xf>
    <xf numFmtId="0" fontId="3" fillId="6" borderId="3" xfId="0" applyFont="1" applyFill="1" applyBorder="1" applyAlignment="1">
      <alignment horizontal="center" vertical="center"/>
    </xf>
    <xf numFmtId="0" fontId="7" fillId="5" borderId="3" xfId="0" applyFont="1" applyFill="1" applyBorder="1" applyAlignment="1">
      <alignment vertical="center"/>
    </xf>
    <xf numFmtId="0" fontId="7" fillId="5" borderId="5" xfId="0" applyFont="1" applyFill="1" applyBorder="1" applyAlignment="1">
      <alignment vertical="center"/>
    </xf>
    <xf numFmtId="0" fontId="7" fillId="5" borderId="5" xfId="0" applyFont="1" applyFill="1" applyBorder="1" applyAlignment="1">
      <alignment horizontal="right" vertical="center"/>
    </xf>
    <xf numFmtId="0" fontId="7" fillId="5" borderId="2" xfId="0" applyFont="1" applyFill="1" applyBorder="1" applyAlignment="1">
      <alignment vertical="center"/>
    </xf>
    <xf numFmtId="0" fontId="7" fillId="5" borderId="5" xfId="0" applyFont="1" applyFill="1" applyBorder="1" applyAlignment="1">
      <alignment horizontal="left" vertical="center"/>
    </xf>
    <xf numFmtId="0" fontId="0" fillId="0" borderId="1" xfId="0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1" fillId="4" borderId="4" xfId="0" applyFont="1" applyFill="1" applyBorder="1" applyAlignment="1">
      <alignment horizontal="center" vertical="center"/>
    </xf>
    <xf numFmtId="0" fontId="1" fillId="4" borderId="3" xfId="0" applyFont="1" applyFill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8" fillId="5" borderId="3" xfId="0" applyFont="1" applyFill="1" applyBorder="1" applyAlignment="1">
      <alignment horizontal="center" vertical="center"/>
    </xf>
    <xf numFmtId="0" fontId="5" fillId="5" borderId="5" xfId="0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/>
    </xf>
    <xf numFmtId="0" fontId="3" fillId="6" borderId="7" xfId="0" applyFont="1" applyFill="1" applyBorder="1" applyAlignment="1">
      <alignment horizontal="center" vertical="center"/>
    </xf>
    <xf numFmtId="0" fontId="3" fillId="6" borderId="0" xfId="0" applyFont="1" applyFill="1" applyAlignment="1">
      <alignment horizontal="center" vertical="center"/>
    </xf>
    <xf numFmtId="0" fontId="3" fillId="6" borderId="8" xfId="0" applyFont="1" applyFill="1" applyBorder="1" applyAlignment="1">
      <alignment horizontal="center" vertical="center"/>
    </xf>
    <xf numFmtId="0" fontId="8" fillId="6" borderId="4" xfId="0" applyFont="1" applyFill="1" applyBorder="1" applyAlignment="1">
      <alignment horizontal="center" vertical="center"/>
    </xf>
    <xf numFmtId="0" fontId="8" fillId="6" borderId="6" xfId="0" applyFont="1" applyFill="1" applyBorder="1" applyAlignment="1">
      <alignment horizontal="center" vertical="center"/>
    </xf>
    <xf numFmtId="0" fontId="8" fillId="6" borderId="11" xfId="0" applyFont="1" applyFill="1" applyBorder="1" applyAlignment="1">
      <alignment horizontal="center" vertical="center"/>
    </xf>
  </cellXfs>
  <cellStyles count="1">
    <cellStyle name="Normal" xfId="0" builtinId="0"/>
  </cellStyles>
  <dxfs count="13">
    <dxf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theme="6" tint="0.79998168889431442"/>
          <bgColor theme="6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theme="6" tint="0.79998168889431442"/>
          <bgColor theme="6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fill>
        <patternFill patternType="solid">
          <fgColor theme="6" tint="0.79998168889431442"/>
          <bgColor theme="6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imes New Roman"/>
        <family val="1"/>
        <scheme val="none"/>
      </font>
      <fill>
        <patternFill patternType="solid">
          <fgColor theme="6"/>
          <bgColor theme="6"/>
        </patternFill>
      </fill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colors>
    <mruColors>
      <color rgb="FFEEEEEE"/>
      <color rgb="FF050B1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266700</xdr:colOff>
          <xdr:row>29</xdr:row>
          <xdr:rowOff>45720</xdr:rowOff>
        </xdr:from>
        <xdr:to>
          <xdr:col>3</xdr:col>
          <xdr:colOff>487680</xdr:colOff>
          <xdr:row>30</xdr:row>
          <xdr:rowOff>91440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pdf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247067</xdr:colOff>
      <xdr:row>2</xdr:row>
      <xdr:rowOff>79788</xdr:rowOff>
    </xdr:from>
    <xdr:to>
      <xdr:col>3</xdr:col>
      <xdr:colOff>77735</xdr:colOff>
      <xdr:row>8</xdr:row>
      <xdr:rowOff>89195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90E9441-5A7D-ECC8-941D-90063CCB0F1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945" t="12000" r="13592" b="12307"/>
        <a:stretch/>
      </xdr:blipFill>
      <xdr:spPr>
        <a:xfrm>
          <a:off x="401759" y="652720"/>
          <a:ext cx="1182788" cy="106360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B212893-E880-42FB-AADC-8A9E19D43CC2}" name="Table1" displayName="Table1" ref="A1:D31" totalsRowShown="0" headerRowDxfId="12" dataDxfId="11" tableBorderDxfId="10">
  <autoFilter ref="A1:D31" xr:uid="{1B212893-E880-42FB-AADC-8A9E19D43CC2}"/>
  <tableColumns count="4">
    <tableColumn id="1" xr3:uid="{7F3A97F2-6D60-4DEF-8FD3-B3A9CEEE4E03}" name="PROD ID" dataDxfId="9"/>
    <tableColumn id="2" xr3:uid="{2C5C4F28-D785-4A90-8618-65FEFE2088B0}" name="PRODUCT DESCRIPTION" dataDxfId="8"/>
    <tableColumn id="3" xr3:uid="{6E1D85FB-546F-42EC-9B2F-096A3BED1B59}" name="UNIT PRICE (INR)" dataDxfId="7"/>
    <tableColumn id="4" xr3:uid="{95AA2173-5474-4719-BD8F-A5887550E2DD}" name="QTY IN STOCK" dataDxfId="6"/>
  </tableColumns>
  <tableStyleInfo name="TableStyleMedium1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883E8E0-E984-46ED-8E64-146FB920D4F7}" name="Table3" displayName="Table3" ref="E1:E31" totalsRowShown="0" headerRowDxfId="5" dataDxfId="3" headerRowBorderDxfId="4" tableBorderDxfId="2" totalsRowBorderDxfId="1">
  <autoFilter ref="E1:E31" xr:uid="{1883E8E0-E984-46ED-8E64-146FB920D4F7}"/>
  <tableColumns count="1">
    <tableColumn id="1" xr3:uid="{C5326965-C846-478D-8461-FBF9F94E5D3E}" name="REMAINING QTY" dataDxfId="0">
      <calculatedColumnFormula>IF(INVOICE!B2 = "", "", IFERROR(IF(ISERROR(MATCH(Table1[[#This Row],[PRODUCT DESCRIPTION]], B2, 0)), D2, D2 - VLOOKUP(B2:B31, INVOICE!D18:E28, 2, FALSE)), ""))</calculatedColumnFormula>
    </tableColumn>
  </tableColumns>
  <tableStyleInfo name="TableStyleMedium11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00BA0B-6009-4EAD-AA2E-81B8D15BD4C1}">
  <sheetPr codeName="Sheet1"/>
  <dimension ref="A1:E32"/>
  <sheetViews>
    <sheetView tabSelected="1" zoomScale="80" workbookViewId="0">
      <selection activeCell="J11" sqref="J11"/>
    </sheetView>
  </sheetViews>
  <sheetFormatPr defaultRowHeight="14.4" x14ac:dyDescent="0.3"/>
  <cols>
    <col min="1" max="1" width="15.44140625" bestFit="1" customWidth="1"/>
    <col min="2" max="2" width="32.6640625" bestFit="1" customWidth="1"/>
    <col min="3" max="3" width="25" style="1" bestFit="1" customWidth="1"/>
    <col min="4" max="4" width="21.88671875" bestFit="1" customWidth="1"/>
    <col min="5" max="5" width="24.5546875" bestFit="1" customWidth="1"/>
  </cols>
  <sheetData>
    <row r="1" spans="1:5" x14ac:dyDescent="0.3">
      <c r="A1" s="13" t="s">
        <v>39</v>
      </c>
      <c r="B1" s="14" t="s">
        <v>45</v>
      </c>
      <c r="C1" s="14" t="s">
        <v>32</v>
      </c>
      <c r="D1" s="41" t="s">
        <v>47</v>
      </c>
      <c r="E1" s="15" t="s">
        <v>48</v>
      </c>
    </row>
    <row r="2" spans="1:5" x14ac:dyDescent="0.3">
      <c r="A2" s="40" t="s">
        <v>51</v>
      </c>
      <c r="B2" s="43" t="s">
        <v>17</v>
      </c>
      <c r="C2" s="10">
        <v>64000</v>
      </c>
      <c r="D2" s="40">
        <v>10</v>
      </c>
      <c r="E2" s="16">
        <f>IF(INVOICE!B2 = "", "", IFERROR(IF(ISERROR(MATCH(Table1[[#This Row],[PRODUCT DESCRIPTION]], B2, 0)), D2, D2 - VLOOKUP(B2:B31, INVOICE!D18:E28, 2, FALSE)), ""))</f>
        <v>9</v>
      </c>
    </row>
    <row r="3" spans="1:5" x14ac:dyDescent="0.3">
      <c r="A3" s="40" t="s">
        <v>52</v>
      </c>
      <c r="B3" s="44" t="s">
        <v>18</v>
      </c>
      <c r="C3" s="11">
        <v>9600</v>
      </c>
      <c r="D3" s="40">
        <v>10</v>
      </c>
      <c r="E3" s="16">
        <v>8</v>
      </c>
    </row>
    <row r="4" spans="1:5" x14ac:dyDescent="0.3">
      <c r="A4" s="40" t="s">
        <v>53</v>
      </c>
      <c r="B4" s="43" t="s">
        <v>19</v>
      </c>
      <c r="C4" s="10">
        <v>16000</v>
      </c>
      <c r="D4" s="40">
        <v>10</v>
      </c>
      <c r="E4" s="16">
        <f>IF(INVOICE!B4 = "", "", IFERROR(IF(ISERROR(MATCH(Table1[[#This Row],[PRODUCT DESCRIPTION]], B4, 0)), D4, D4 - VLOOKUP(B4:B33, INVOICE!D20:E30, 2, FALSE)), ""))</f>
        <v>7</v>
      </c>
    </row>
    <row r="5" spans="1:5" x14ac:dyDescent="0.3">
      <c r="A5" s="40" t="s">
        <v>54</v>
      </c>
      <c r="B5" s="44" t="s">
        <v>0</v>
      </c>
      <c r="C5" s="11">
        <v>28000</v>
      </c>
      <c r="D5" s="40">
        <v>10</v>
      </c>
      <c r="E5" s="16" t="str">
        <f>IF(INVOICE!B5 = "", "", IFERROR(IF(ISERROR(MATCH(Table1[[#This Row],[PRODUCT DESCRIPTION]], B5, 0)), D5, D5 - VLOOKUP(B5:B34, INVOICE!D21:E31, 2, FALSE)), ""))</f>
        <v/>
      </c>
    </row>
    <row r="6" spans="1:5" x14ac:dyDescent="0.3">
      <c r="A6" s="40" t="s">
        <v>55</v>
      </c>
      <c r="B6" s="43" t="s">
        <v>7</v>
      </c>
      <c r="C6" s="10">
        <v>12000</v>
      </c>
      <c r="D6" s="40">
        <v>10</v>
      </c>
      <c r="E6" s="16" t="str">
        <f>IF(INVOICE!B6 = "", "", IFERROR(IF(ISERROR(MATCH(Table1[[#This Row],[PRODUCT DESCRIPTION]], B6, 0)), D6, D6 - VLOOKUP(B6:B35, INVOICE!D22:E32, 2, FALSE)), ""))</f>
        <v/>
      </c>
    </row>
    <row r="7" spans="1:5" x14ac:dyDescent="0.3">
      <c r="A7" s="40" t="s">
        <v>56</v>
      </c>
      <c r="B7" s="44" t="s">
        <v>1</v>
      </c>
      <c r="C7" s="11">
        <v>7200</v>
      </c>
      <c r="D7" s="40">
        <v>10</v>
      </c>
      <c r="E7" s="16" t="str">
        <f>IF(INVOICE!B7 = "", "", IFERROR(IF(ISERROR(MATCH(Table1[[#This Row],[PRODUCT DESCRIPTION]], B7, 0)), D7, D7 - VLOOKUP(B7:B36, INVOICE!D23:E33, 2, FALSE)), ""))</f>
        <v/>
      </c>
    </row>
    <row r="8" spans="1:5" x14ac:dyDescent="0.3">
      <c r="A8" s="40" t="s">
        <v>57</v>
      </c>
      <c r="B8" s="43" t="s">
        <v>11</v>
      </c>
      <c r="C8" s="10">
        <v>4000</v>
      </c>
      <c r="D8" s="40">
        <v>10</v>
      </c>
      <c r="E8" s="16" t="str">
        <f>IF(INVOICE!B8 = "", "", IFERROR(IF(ISERROR(MATCH(Table1[[#This Row],[PRODUCT DESCRIPTION]], B8, 0)), D8, D8 - VLOOKUP(B8:B37, INVOICE!D24:E34, 2, FALSE)), ""))</f>
        <v/>
      </c>
    </row>
    <row r="9" spans="1:5" x14ac:dyDescent="0.3">
      <c r="A9" s="40" t="s">
        <v>58</v>
      </c>
      <c r="B9" s="44" t="s">
        <v>12</v>
      </c>
      <c r="C9" s="11">
        <v>96000</v>
      </c>
      <c r="D9" s="40">
        <v>10</v>
      </c>
      <c r="E9" s="16" t="str">
        <f>IF(INVOICE!B9 = "", "", IFERROR(IF(ISERROR(MATCH(Table1[[#This Row],[PRODUCT DESCRIPTION]], B9, 0)), D9, D9 - VLOOKUP(B9:B38, INVOICE!D25:E35, 2, FALSE)), ""))</f>
        <v/>
      </c>
    </row>
    <row r="10" spans="1:5" x14ac:dyDescent="0.3">
      <c r="A10" s="40" t="s">
        <v>59</v>
      </c>
      <c r="B10" s="43" t="s">
        <v>2</v>
      </c>
      <c r="C10" s="10">
        <v>6400</v>
      </c>
      <c r="D10" s="40">
        <v>10</v>
      </c>
      <c r="E10" s="16" t="str">
        <f>IF(INVOICE!B10 = "", "", IFERROR(IF(ISERROR(MATCH(Table1[[#This Row],[PRODUCT DESCRIPTION]], B10, 0)), D10, D10 - VLOOKUP(B10:B39, INVOICE!D26:E36, 2, FALSE)), ""))</f>
        <v/>
      </c>
    </row>
    <row r="11" spans="1:5" x14ac:dyDescent="0.3">
      <c r="A11" s="40" t="s">
        <v>60</v>
      </c>
      <c r="B11" s="44" t="s">
        <v>20</v>
      </c>
      <c r="C11" s="11">
        <v>40000</v>
      </c>
      <c r="D11" s="40">
        <v>10</v>
      </c>
      <c r="E11" s="16" t="str">
        <f>IF(INVOICE!B11 = "", "", IFERROR(IF(ISERROR(MATCH(Table1[[#This Row],[PRODUCT DESCRIPTION]], B11, 0)), D11, D11 - VLOOKUP(B11:B40, INVOICE!D27:E37, 2, FALSE)), ""))</f>
        <v/>
      </c>
    </row>
    <row r="12" spans="1:5" x14ac:dyDescent="0.3">
      <c r="A12" s="40" t="s">
        <v>61</v>
      </c>
      <c r="B12" s="43" t="s">
        <v>21</v>
      </c>
      <c r="C12" s="10">
        <v>24000</v>
      </c>
      <c r="D12" s="40">
        <v>10</v>
      </c>
      <c r="E12" s="16" t="str">
        <f>IF(INVOICE!B12 = "", "", IFERROR(IF(ISERROR(MATCH(Table1[[#This Row],[PRODUCT DESCRIPTION]], B12, 0)), D12, D12 - VLOOKUP(B12:B41, INVOICE!D28:E38, 2, FALSE)), ""))</f>
        <v/>
      </c>
    </row>
    <row r="13" spans="1:5" x14ac:dyDescent="0.3">
      <c r="A13" s="40" t="s">
        <v>62</v>
      </c>
      <c r="B13" s="44" t="s">
        <v>22</v>
      </c>
      <c r="C13" s="11">
        <v>8000</v>
      </c>
      <c r="D13" s="40">
        <v>10</v>
      </c>
      <c r="E13" s="16" t="str">
        <f>IF(INVOICE!B13 = "", "", IFERROR(IF(ISERROR(MATCH(Table1[[#This Row],[PRODUCT DESCRIPTION]], B13, 0)), D13, D13 - VLOOKUP(B13:B42, INVOICE!D29:E39, 2, FALSE)), ""))</f>
        <v/>
      </c>
    </row>
    <row r="14" spans="1:5" x14ac:dyDescent="0.3">
      <c r="A14" s="40" t="s">
        <v>63</v>
      </c>
      <c r="B14" s="43" t="s">
        <v>23</v>
      </c>
      <c r="C14" s="10">
        <v>56000</v>
      </c>
      <c r="D14" s="40">
        <v>10</v>
      </c>
      <c r="E14" s="16" t="str">
        <f>IF(INVOICE!B14 = "", "", IFERROR(IF(ISERROR(MATCH(Table1[[#This Row],[PRODUCT DESCRIPTION]], B14, 0)), D14, D14 - VLOOKUP(B14:B43, INVOICE!D30:E40, 2, FALSE)), ""))</f>
        <v/>
      </c>
    </row>
    <row r="15" spans="1:5" x14ac:dyDescent="0.3">
      <c r="A15" s="40" t="s">
        <v>64</v>
      </c>
      <c r="B15" s="44" t="s">
        <v>24</v>
      </c>
      <c r="C15" s="11">
        <v>32000</v>
      </c>
      <c r="D15" s="40">
        <v>10</v>
      </c>
      <c r="E15" s="16" t="str">
        <f>IF(INVOICE!B15 = "", "", IFERROR(IF(ISERROR(MATCH(Table1[[#This Row],[PRODUCT DESCRIPTION]], B15, 0)), D15, D15 - VLOOKUP(B15:B44, INVOICE!D31:E41, 2, FALSE)), ""))</f>
        <v/>
      </c>
    </row>
    <row r="16" spans="1:5" x14ac:dyDescent="0.3">
      <c r="A16" s="40" t="s">
        <v>65</v>
      </c>
      <c r="B16" s="43" t="s">
        <v>25</v>
      </c>
      <c r="C16" s="10">
        <v>48000</v>
      </c>
      <c r="D16" s="40">
        <v>10</v>
      </c>
      <c r="E16" s="16" t="str">
        <f>IF(INVOICE!B16 = "", "", IFERROR(IF(ISERROR(MATCH(Table1[[#This Row],[PRODUCT DESCRIPTION]], B16, 0)), D16, D16 - VLOOKUP(B16:B45, INVOICE!D32:E42, 2, FALSE)), ""))</f>
        <v/>
      </c>
    </row>
    <row r="17" spans="1:5" x14ac:dyDescent="0.3">
      <c r="A17" s="40" t="s">
        <v>66</v>
      </c>
      <c r="B17" s="44" t="s">
        <v>3</v>
      </c>
      <c r="C17" s="11">
        <v>6400</v>
      </c>
      <c r="D17" s="40">
        <v>10</v>
      </c>
      <c r="E17" s="16" t="str">
        <f>IF(INVOICE!B17 = "", "", IFERROR(IF(ISERROR(MATCH(Table1[[#This Row],[PRODUCT DESCRIPTION]], B17, 0)), D17, D17 - VLOOKUP(B17:B46, INVOICE!D33:E43, 2, FALSE)), ""))</f>
        <v/>
      </c>
    </row>
    <row r="18" spans="1:5" x14ac:dyDescent="0.3">
      <c r="A18" s="40" t="s">
        <v>67</v>
      </c>
      <c r="B18" s="43" t="s">
        <v>31</v>
      </c>
      <c r="C18" s="10">
        <v>80000</v>
      </c>
      <c r="D18" s="40">
        <v>10</v>
      </c>
      <c r="E18" s="16" t="str">
        <f>IF(INVOICE!B18 = "", "", IFERROR(IF(ISERROR(MATCH(Table1[[#This Row],[PRODUCT DESCRIPTION]], B18, 0)), D18, D18 - VLOOKUP(B18:B47, INVOICE!D34:E44, 2, FALSE)), ""))</f>
        <v/>
      </c>
    </row>
    <row r="19" spans="1:5" x14ac:dyDescent="0.3">
      <c r="A19" s="40" t="s">
        <v>68</v>
      </c>
      <c r="B19" s="44" t="s">
        <v>13</v>
      </c>
      <c r="C19" s="11">
        <v>32000</v>
      </c>
      <c r="D19" s="40">
        <v>10</v>
      </c>
      <c r="E19" s="16" t="str">
        <f>IF(INVOICE!B19 = "", "", IFERROR(IF(ISERROR(MATCH(Table1[[#This Row],[PRODUCT DESCRIPTION]], B19, 0)), D19, D19 - VLOOKUP(B19:B48, INVOICE!D35:E45, 2, FALSE)), ""))</f>
        <v/>
      </c>
    </row>
    <row r="20" spans="1:5" x14ac:dyDescent="0.3">
      <c r="A20" s="40" t="s">
        <v>69</v>
      </c>
      <c r="B20" s="43" t="s">
        <v>14</v>
      </c>
      <c r="C20" s="10">
        <v>8000</v>
      </c>
      <c r="D20" s="40">
        <v>10</v>
      </c>
      <c r="E20" s="16" t="str">
        <f>IF(INVOICE!B20 = "", "", IFERROR(IF(ISERROR(MATCH(Table1[[#This Row],[PRODUCT DESCRIPTION]], B20, 0)), D20, D20 - VLOOKUP(B20:B49, INVOICE!D36:E46, 2, FALSE)), ""))</f>
        <v/>
      </c>
    </row>
    <row r="21" spans="1:5" x14ac:dyDescent="0.3">
      <c r="A21" s="40" t="s">
        <v>70</v>
      </c>
      <c r="B21" s="44" t="s">
        <v>15</v>
      </c>
      <c r="C21" s="11">
        <v>12000</v>
      </c>
      <c r="D21" s="40">
        <v>10</v>
      </c>
      <c r="E21" s="16" t="str">
        <f>IF(INVOICE!B21 = "", "", IFERROR(IF(ISERROR(MATCH(Table1[[#This Row],[PRODUCT DESCRIPTION]], B21, 0)), D21, D21 - VLOOKUP(B21:B50, INVOICE!D37:E47, 2, FALSE)), ""))</f>
        <v/>
      </c>
    </row>
    <row r="22" spans="1:5" x14ac:dyDescent="0.3">
      <c r="A22" s="40" t="s">
        <v>71</v>
      </c>
      <c r="B22" s="43" t="s">
        <v>16</v>
      </c>
      <c r="C22" s="10">
        <v>20000</v>
      </c>
      <c r="D22" s="40">
        <v>10</v>
      </c>
      <c r="E22" s="16" t="str">
        <f>IF(INVOICE!B22 = "", "", IFERROR(IF(ISERROR(MATCH(Table1[[#This Row],[PRODUCT DESCRIPTION]], B22, 0)), D22, D22 - VLOOKUP(B22:B51, INVOICE!D38:E48, 2, FALSE)), ""))</f>
        <v/>
      </c>
    </row>
    <row r="23" spans="1:5" x14ac:dyDescent="0.3">
      <c r="A23" s="40" t="s">
        <v>72</v>
      </c>
      <c r="B23" s="44" t="s">
        <v>4</v>
      </c>
      <c r="C23" s="11">
        <v>14400</v>
      </c>
      <c r="D23" s="40">
        <v>10</v>
      </c>
      <c r="E23" s="16" t="str">
        <f>IF(INVOICE!B23 = "", "", IFERROR(IF(ISERROR(MATCH(Table1[[#This Row],[PRODUCT DESCRIPTION]], B23, 0)), D23, D23 - VLOOKUP(B23:B52, INVOICE!D39:E49, 2, FALSE)), ""))</f>
        <v/>
      </c>
    </row>
    <row r="24" spans="1:5" x14ac:dyDescent="0.3">
      <c r="A24" s="40" t="s">
        <v>73</v>
      </c>
      <c r="B24" s="43" t="s">
        <v>5</v>
      </c>
      <c r="C24" s="10">
        <v>9600</v>
      </c>
      <c r="D24" s="40">
        <v>10</v>
      </c>
      <c r="E24" s="16" t="str">
        <f>IF(INVOICE!B24 = "", "", IFERROR(IF(ISERROR(MATCH(Table1[[#This Row],[PRODUCT DESCRIPTION]], B24, 0)), D24, D24 - VLOOKUP(B24:B53, INVOICE!D40:E50, 2, FALSE)), ""))</f>
        <v/>
      </c>
    </row>
    <row r="25" spans="1:5" x14ac:dyDescent="0.3">
      <c r="A25" s="40" t="s">
        <v>74</v>
      </c>
      <c r="B25" s="44" t="s">
        <v>6</v>
      </c>
      <c r="C25" s="11">
        <v>72000</v>
      </c>
      <c r="D25" s="40">
        <v>10</v>
      </c>
      <c r="E25" s="16" t="str">
        <f>IF(INVOICE!B25 = "", "", IFERROR(IF(ISERROR(MATCH(Table1[[#This Row],[PRODUCT DESCRIPTION]], B25, 0)), D25, D25 - VLOOKUP(B25:B54, INVOICE!D41:E51, 2, FALSE)), ""))</f>
        <v/>
      </c>
    </row>
    <row r="26" spans="1:5" x14ac:dyDescent="0.3">
      <c r="A26" s="40" t="s">
        <v>75</v>
      </c>
      <c r="B26" s="43" t="s">
        <v>29</v>
      </c>
      <c r="C26" s="10">
        <v>8000</v>
      </c>
      <c r="D26" s="40">
        <v>10</v>
      </c>
      <c r="E26" s="16" t="str">
        <f>IF(INVOICE!B26 = "", "", IFERROR(IF(ISERROR(MATCH(Table1[[#This Row],[PRODUCT DESCRIPTION]], B26, 0)), D26, D26 - VLOOKUP(B26:B55, INVOICE!D42:E52, 2, FALSE)), ""))</f>
        <v/>
      </c>
    </row>
    <row r="27" spans="1:5" x14ac:dyDescent="0.3">
      <c r="A27" s="40" t="s">
        <v>76</v>
      </c>
      <c r="B27" s="44" t="s">
        <v>28</v>
      </c>
      <c r="C27" s="11">
        <v>4800</v>
      </c>
      <c r="D27" s="40">
        <v>10</v>
      </c>
      <c r="E27" s="16" t="str">
        <f>IF(INVOICE!B27 = "", "", IFERROR(IF(ISERROR(MATCH(Table1[[#This Row],[PRODUCT DESCRIPTION]], B27, 0)), D27, D27 - VLOOKUP(B27:B56, INVOICE!D43:E53, 2, FALSE)), ""))</f>
        <v/>
      </c>
    </row>
    <row r="28" spans="1:5" x14ac:dyDescent="0.3">
      <c r="A28" s="40" t="s">
        <v>77</v>
      </c>
      <c r="B28" s="43" t="s">
        <v>8</v>
      </c>
      <c r="C28" s="10">
        <v>32000</v>
      </c>
      <c r="D28" s="40">
        <v>10</v>
      </c>
      <c r="E28" s="16" t="str">
        <f>IF(INVOICE!B28 = "", "", IFERROR(IF(ISERROR(MATCH(Table1[[#This Row],[PRODUCT DESCRIPTION]], B28, 0)), D28, D28 - VLOOKUP(B28:B57, INVOICE!D44:E54, 2, FALSE)), ""))</f>
        <v/>
      </c>
    </row>
    <row r="29" spans="1:5" x14ac:dyDescent="0.3">
      <c r="A29" s="40" t="s">
        <v>78</v>
      </c>
      <c r="B29" s="44" t="s">
        <v>27</v>
      </c>
      <c r="C29" s="11">
        <v>40000</v>
      </c>
      <c r="D29" s="40">
        <v>10</v>
      </c>
      <c r="E29" s="16" t="str">
        <f>IF(INVOICE!B29 = "", "", IFERROR(IF(ISERROR(MATCH(Table1[[#This Row],[PRODUCT DESCRIPTION]], B29, 0)), D29, D29 - VLOOKUP(B29:B58, INVOICE!D45:E55, 2, FALSE)), ""))</f>
        <v/>
      </c>
    </row>
    <row r="30" spans="1:5" x14ac:dyDescent="0.3">
      <c r="A30" s="40" t="s">
        <v>79</v>
      </c>
      <c r="B30" s="43" t="s">
        <v>9</v>
      </c>
      <c r="C30" s="10">
        <v>6400</v>
      </c>
      <c r="D30" s="40">
        <v>10</v>
      </c>
      <c r="E30" s="16" t="str">
        <f>IF(INVOICE!B30 = "", "", IFERROR(IF(ISERROR(MATCH(Table1[[#This Row],[PRODUCT DESCRIPTION]], B30, 0)), D30, D30 - VLOOKUP(B30:B59, INVOICE!D46:E56, 2, FALSE)), ""))</f>
        <v/>
      </c>
    </row>
    <row r="31" spans="1:5" x14ac:dyDescent="0.3">
      <c r="A31" s="40" t="s">
        <v>80</v>
      </c>
      <c r="B31" s="45" t="s">
        <v>26</v>
      </c>
      <c r="C31" s="12">
        <v>5600</v>
      </c>
      <c r="D31" s="42">
        <v>10</v>
      </c>
      <c r="E31" s="16" t="str">
        <f>IF(INVOICE!B31 = "", "", IFERROR(IF(ISERROR(MATCH(Table1[[#This Row],[PRODUCT DESCRIPTION]], B31, 0)), D31, D31 - VLOOKUP(B31:B60, INVOICE!D47:E57, 2, FALSE)), ""))</f>
        <v/>
      </c>
    </row>
    <row r="32" spans="1:5" x14ac:dyDescent="0.3">
      <c r="D32" s="1"/>
    </row>
  </sheetData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75452-EEA8-4D66-A805-278088F4FAEF}">
  <sheetPr codeName="Sheet2"/>
  <dimension ref="B1:M48"/>
  <sheetViews>
    <sheetView showGridLines="0" zoomScale="78" workbookViewId="0">
      <selection activeCell="K11" sqref="K11"/>
    </sheetView>
  </sheetViews>
  <sheetFormatPr defaultRowHeight="14.4" x14ac:dyDescent="0.3"/>
  <cols>
    <col min="1" max="1" width="2.21875" customWidth="1"/>
    <col min="3" max="3" width="10.88671875" customWidth="1"/>
    <col min="4" max="4" width="30.6640625" customWidth="1"/>
    <col min="5" max="5" width="12.6640625" customWidth="1"/>
    <col min="6" max="6" width="18.6640625" bestFit="1" customWidth="1"/>
    <col min="7" max="7" width="16.6640625" customWidth="1"/>
    <col min="9" max="9" width="10.21875" bestFit="1" customWidth="1"/>
    <col min="10" max="10" width="11.6640625" bestFit="1" customWidth="1"/>
    <col min="11" max="11" width="10.33203125" bestFit="1" customWidth="1"/>
    <col min="12" max="12" width="10.33203125" customWidth="1"/>
    <col min="23" max="23" width="9.6640625" bestFit="1" customWidth="1"/>
    <col min="24" max="24" width="10.44140625" bestFit="1" customWidth="1"/>
  </cols>
  <sheetData>
    <row r="1" spans="2:13" ht="14.4" customHeight="1" x14ac:dyDescent="0.3"/>
    <row r="2" spans="2:13" ht="30.6" customHeight="1" x14ac:dyDescent="0.3">
      <c r="B2" s="55" t="s">
        <v>46</v>
      </c>
      <c r="C2" s="56"/>
      <c r="D2" s="56"/>
      <c r="E2" s="56"/>
      <c r="F2" s="56"/>
      <c r="G2" s="57"/>
      <c r="H2" s="8"/>
      <c r="I2" s="8"/>
      <c r="J2" s="8"/>
      <c r="K2" s="8"/>
      <c r="L2" s="8"/>
      <c r="M2" s="5"/>
    </row>
    <row r="3" spans="2:13" ht="10.8" customHeight="1" x14ac:dyDescent="0.3">
      <c r="B3" s="61"/>
      <c r="C3" s="62"/>
      <c r="D3" s="62"/>
      <c r="E3" s="62"/>
      <c r="F3" s="62"/>
      <c r="G3" s="63"/>
      <c r="H3" s="8"/>
      <c r="I3" s="8"/>
      <c r="J3" s="8"/>
      <c r="K3" s="8"/>
      <c r="L3" s="8"/>
      <c r="M3" s="5"/>
    </row>
    <row r="4" spans="2:13" x14ac:dyDescent="0.3">
      <c r="B4" s="58" t="s">
        <v>37</v>
      </c>
      <c r="C4" s="59"/>
      <c r="D4" s="59"/>
      <c r="E4" s="59"/>
      <c r="F4" s="59"/>
      <c r="G4" s="60"/>
      <c r="H4" s="6"/>
      <c r="I4" s="6"/>
      <c r="J4" s="6"/>
      <c r="K4" s="6"/>
      <c r="L4" s="6"/>
      <c r="M4" s="6"/>
    </row>
    <row r="5" spans="2:13" x14ac:dyDescent="0.3">
      <c r="B5" s="58" t="s">
        <v>85</v>
      </c>
      <c r="C5" s="59"/>
      <c r="D5" s="59"/>
      <c r="E5" s="59"/>
      <c r="F5" s="59"/>
      <c r="G5" s="60"/>
      <c r="H5" s="6"/>
      <c r="I5" s="6"/>
      <c r="J5" s="6"/>
      <c r="K5" s="6"/>
      <c r="L5" s="6"/>
      <c r="M5" s="6"/>
    </row>
    <row r="6" spans="2:13" x14ac:dyDescent="0.3">
      <c r="B6" s="58" t="s">
        <v>33</v>
      </c>
      <c r="C6" s="59"/>
      <c r="D6" s="59"/>
      <c r="E6" s="59"/>
      <c r="F6" s="59"/>
      <c r="G6" s="60"/>
      <c r="H6" s="6"/>
      <c r="I6" s="6"/>
      <c r="J6" s="6"/>
      <c r="K6" s="6"/>
      <c r="L6" s="6"/>
      <c r="M6" s="6"/>
    </row>
    <row r="7" spans="2:13" x14ac:dyDescent="0.3">
      <c r="B7" s="17"/>
      <c r="C7" s="18"/>
      <c r="D7" s="18"/>
      <c r="E7" s="18"/>
      <c r="F7" s="18"/>
      <c r="G7" s="19"/>
      <c r="H7" s="2"/>
      <c r="I7" s="2"/>
      <c r="J7" s="2"/>
      <c r="K7" s="2"/>
      <c r="L7" s="2"/>
      <c r="M7" s="2"/>
    </row>
    <row r="8" spans="2:13" x14ac:dyDescent="0.3">
      <c r="B8" s="20"/>
      <c r="C8" s="21"/>
      <c r="D8" s="21"/>
      <c r="E8" s="21"/>
      <c r="F8" s="22" t="s">
        <v>34</v>
      </c>
      <c r="G8" s="23">
        <f ca="1">TODAY()</f>
        <v>45689</v>
      </c>
      <c r="H8" s="3"/>
      <c r="I8" s="3"/>
      <c r="L8" s="7"/>
      <c r="M8" s="3"/>
    </row>
    <row r="9" spans="2:13" x14ac:dyDescent="0.3">
      <c r="B9" s="20"/>
      <c r="C9" s="21"/>
      <c r="D9" s="21"/>
      <c r="E9" s="21"/>
      <c r="F9" s="21"/>
      <c r="G9" s="24"/>
      <c r="H9" s="3"/>
      <c r="I9" s="3"/>
      <c r="J9" s="3"/>
      <c r="K9" s="3"/>
      <c r="L9" s="3"/>
      <c r="M9" s="3"/>
    </row>
    <row r="10" spans="2:13" ht="18.600000000000001" x14ac:dyDescent="0.3">
      <c r="B10" s="35"/>
      <c r="C10" s="36"/>
      <c r="D10" s="37" t="s">
        <v>50</v>
      </c>
      <c r="E10" s="39">
        <v>6</v>
      </c>
      <c r="F10" s="36"/>
      <c r="G10" s="38"/>
      <c r="H10" s="9"/>
      <c r="I10" s="9"/>
      <c r="J10" s="9"/>
      <c r="K10" s="9"/>
      <c r="L10" s="9"/>
      <c r="M10" s="3"/>
    </row>
    <row r="11" spans="2:13" x14ac:dyDescent="0.3">
      <c r="B11" s="28"/>
      <c r="C11" s="25"/>
      <c r="D11" s="25"/>
      <c r="E11" s="25"/>
      <c r="F11" s="25"/>
      <c r="G11" s="26"/>
      <c r="H11" s="4"/>
      <c r="I11" s="4"/>
      <c r="J11" s="4"/>
      <c r="K11" s="4"/>
      <c r="L11" s="4"/>
      <c r="M11" s="3"/>
    </row>
    <row r="12" spans="2:13" x14ac:dyDescent="0.3">
      <c r="B12" s="29" t="s">
        <v>35</v>
      </c>
      <c r="C12" s="21"/>
      <c r="D12" s="21"/>
      <c r="E12" s="27" t="s">
        <v>38</v>
      </c>
      <c r="F12" s="21"/>
      <c r="G12" s="24"/>
      <c r="H12" s="3"/>
      <c r="K12" s="3"/>
      <c r="L12" s="3"/>
      <c r="M12" s="3"/>
    </row>
    <row r="13" spans="2:13" x14ac:dyDescent="0.3">
      <c r="B13" s="20" t="s">
        <v>36</v>
      </c>
      <c r="C13" s="21"/>
      <c r="D13" s="21"/>
      <c r="E13" s="21" t="str">
        <f>B13</f>
        <v>Name - Pradeep</v>
      </c>
      <c r="F13" s="21"/>
      <c r="G13" s="24"/>
      <c r="H13" s="3"/>
      <c r="K13" s="3"/>
      <c r="L13" s="3"/>
      <c r="M13" s="3"/>
    </row>
    <row r="14" spans="2:13" x14ac:dyDescent="0.3">
      <c r="B14" s="20" t="s">
        <v>84</v>
      </c>
      <c r="C14" s="21"/>
      <c r="D14" s="21"/>
      <c r="E14" s="21" t="str">
        <f t="shared" ref="E14:E16" si="0">B14</f>
        <v>Address - Keeranatham , Coimbatore</v>
      </c>
      <c r="F14" s="21"/>
      <c r="G14" s="24"/>
      <c r="H14" s="3"/>
      <c r="K14" s="3"/>
      <c r="L14" s="3"/>
      <c r="M14" s="3"/>
    </row>
    <row r="15" spans="2:13" x14ac:dyDescent="0.3">
      <c r="B15" s="20" t="s">
        <v>82</v>
      </c>
      <c r="C15" s="21"/>
      <c r="D15" s="21"/>
      <c r="E15" s="21" t="str">
        <f t="shared" si="0"/>
        <v>Contact No - 1234567890</v>
      </c>
      <c r="F15" s="21"/>
      <c r="G15" s="24"/>
      <c r="H15" s="3"/>
      <c r="K15" s="3"/>
      <c r="L15" s="3"/>
      <c r="M15" s="3"/>
    </row>
    <row r="16" spans="2:13" x14ac:dyDescent="0.3">
      <c r="B16" s="20" t="s">
        <v>83</v>
      </c>
      <c r="C16" s="21"/>
      <c r="D16" s="21"/>
      <c r="E16" s="21" t="str">
        <f t="shared" si="0"/>
        <v>Email ID : pradeep@gmail.com</v>
      </c>
      <c r="F16" s="21"/>
      <c r="G16" s="24"/>
      <c r="H16" s="3"/>
      <c r="K16" s="3"/>
      <c r="L16" s="3"/>
      <c r="M16" s="3"/>
    </row>
    <row r="17" spans="2:13" x14ac:dyDescent="0.3">
      <c r="B17" s="20"/>
      <c r="C17" s="21"/>
      <c r="D17" s="21"/>
      <c r="E17" s="21"/>
      <c r="F17" s="21"/>
      <c r="G17" s="24"/>
      <c r="H17" s="3"/>
      <c r="I17" s="3"/>
      <c r="J17" s="3"/>
      <c r="K17" s="3"/>
      <c r="L17" s="3"/>
      <c r="M17" s="3"/>
    </row>
    <row r="18" spans="2:13" ht="18.600000000000001" customHeight="1" x14ac:dyDescent="0.3">
      <c r="B18" s="30" t="s">
        <v>10</v>
      </c>
      <c r="C18" s="30" t="s">
        <v>39</v>
      </c>
      <c r="D18" s="31" t="s">
        <v>40</v>
      </c>
      <c r="E18" s="30" t="s">
        <v>81</v>
      </c>
      <c r="F18" s="30" t="s">
        <v>30</v>
      </c>
      <c r="G18" s="30" t="s">
        <v>49</v>
      </c>
      <c r="M18" s="3"/>
    </row>
    <row r="19" spans="2:13" x14ac:dyDescent="0.3">
      <c r="B19" s="33">
        <f>IF(ISBLANK(D19)," ",1)</f>
        <v>1</v>
      </c>
      <c r="C19" s="33" t="str">
        <f>IFERROR(INDEX(Table1[PROD ID],MATCH(INVOICE!D19,Table1[PRODUCT DESCRIPTION], 0)), "")</f>
        <v>PROD001</v>
      </c>
      <c r="D19" s="34" t="s">
        <v>17</v>
      </c>
      <c r="E19" s="33">
        <v>1</v>
      </c>
      <c r="F19" s="33">
        <f>_xlfn.IFNA(VLOOKUP(D19,'STOCK '!B:C,2,0),"")</f>
        <v>64000</v>
      </c>
      <c r="G19" s="33">
        <f>IFERROR(E19*F19," ")</f>
        <v>64000</v>
      </c>
      <c r="M19" s="3"/>
    </row>
    <row r="20" spans="2:13" x14ac:dyDescent="0.3">
      <c r="B20" s="33">
        <f t="shared" ref="B20:B28" si="1">IF(ISBLANK(D20)," ",B19+1)</f>
        <v>2</v>
      </c>
      <c r="C20" s="33" t="str">
        <f>IFERROR(INDEX(Table1[PROD ID],MATCH(INVOICE!D20,Table1[PRODUCT DESCRIPTION], 0)), "")</f>
        <v>PROD002</v>
      </c>
      <c r="D20" s="33" t="s">
        <v>18</v>
      </c>
      <c r="E20" s="33">
        <v>2</v>
      </c>
      <c r="F20" s="33">
        <f>_xlfn.IFNA(VLOOKUP(D20,'STOCK '!B:C,2,0),"")</f>
        <v>9600</v>
      </c>
      <c r="G20" s="33">
        <f>IFERROR(E20*F20," ")</f>
        <v>19200</v>
      </c>
      <c r="M20" s="3"/>
    </row>
    <row r="21" spans="2:13" x14ac:dyDescent="0.3">
      <c r="B21" s="33">
        <f t="shared" si="1"/>
        <v>3</v>
      </c>
      <c r="C21" s="33" t="str">
        <f>IFERROR(INDEX(Table1[PROD ID],MATCH(INVOICE!D21,Table1[PRODUCT DESCRIPTION], 0)), "")</f>
        <v>PROD003</v>
      </c>
      <c r="D21" s="33" t="s">
        <v>19</v>
      </c>
      <c r="E21" s="33">
        <v>3</v>
      </c>
      <c r="F21" s="33">
        <f>_xlfn.IFNA(VLOOKUP(D21,'STOCK '!B:C,2,0),"")</f>
        <v>16000</v>
      </c>
      <c r="G21" s="33">
        <f t="shared" ref="G21:G28" si="2">IFERROR(E21*F21," ")</f>
        <v>48000</v>
      </c>
      <c r="M21" s="3"/>
    </row>
    <row r="22" spans="2:13" x14ac:dyDescent="0.3">
      <c r="B22" s="33" t="str">
        <f t="shared" si="1"/>
        <v xml:space="preserve"> </v>
      </c>
      <c r="C22" s="33" t="str">
        <f>IFERROR(INDEX(Table1[PROD ID],MATCH(INVOICE!D22,Table1[PRODUCT DESCRIPTION], 0)), "")</f>
        <v/>
      </c>
      <c r="D22" s="33"/>
      <c r="E22" s="33"/>
      <c r="F22" s="33" t="str">
        <f>_xlfn.IFNA(VLOOKUP(D22,'STOCK '!B:C,2,0),"")</f>
        <v/>
      </c>
      <c r="G22" s="33" t="str">
        <f t="shared" si="2"/>
        <v xml:space="preserve"> </v>
      </c>
      <c r="M22" s="3"/>
    </row>
    <row r="23" spans="2:13" x14ac:dyDescent="0.3">
      <c r="B23" s="33" t="str">
        <f t="shared" si="1"/>
        <v xml:space="preserve"> </v>
      </c>
      <c r="C23" s="33" t="str">
        <f>IFERROR(INDEX(Table1[PROD ID],MATCH(INVOICE!D23,Table1[PRODUCT DESCRIPTION], 0)), "")</f>
        <v/>
      </c>
      <c r="D23" s="33"/>
      <c r="E23" s="33"/>
      <c r="F23" s="33" t="str">
        <f>_xlfn.IFNA(VLOOKUP(D23,'STOCK '!B:C,2,0),"")</f>
        <v/>
      </c>
      <c r="G23" s="33" t="str">
        <f t="shared" si="2"/>
        <v xml:space="preserve"> </v>
      </c>
      <c r="M23" s="3"/>
    </row>
    <row r="24" spans="2:13" x14ac:dyDescent="0.3">
      <c r="B24" s="33" t="str">
        <f t="shared" si="1"/>
        <v xml:space="preserve"> </v>
      </c>
      <c r="C24" s="33" t="str">
        <f>IFERROR(INDEX(Table1[PROD ID],MATCH(INVOICE!D24,Table1[PRODUCT DESCRIPTION], 0)), "")</f>
        <v/>
      </c>
      <c r="D24" s="33"/>
      <c r="E24" s="33"/>
      <c r="F24" s="33" t="str">
        <f>_xlfn.IFNA(VLOOKUP(D24,'STOCK '!B:C,2,0),"")</f>
        <v/>
      </c>
      <c r="G24" s="33" t="str">
        <f t="shared" si="2"/>
        <v xml:space="preserve"> </v>
      </c>
      <c r="M24" s="3"/>
    </row>
    <row r="25" spans="2:13" x14ac:dyDescent="0.3">
      <c r="B25" s="33" t="str">
        <f t="shared" si="1"/>
        <v xml:space="preserve"> </v>
      </c>
      <c r="C25" s="33" t="str">
        <f>IFERROR(INDEX(Table1[PROD ID],MATCH(INVOICE!D25,Table1[PRODUCT DESCRIPTION], 0)), "")</f>
        <v/>
      </c>
      <c r="D25" s="33"/>
      <c r="E25" s="33"/>
      <c r="F25" s="33" t="str">
        <f>_xlfn.IFNA(VLOOKUP(D25,'STOCK '!B:C,2,0),"")</f>
        <v/>
      </c>
      <c r="G25" s="33" t="str">
        <f t="shared" si="2"/>
        <v xml:space="preserve"> </v>
      </c>
      <c r="M25" s="3"/>
    </row>
    <row r="26" spans="2:13" x14ac:dyDescent="0.3">
      <c r="B26" s="33" t="str">
        <f t="shared" si="1"/>
        <v xml:space="preserve"> </v>
      </c>
      <c r="C26" s="33" t="str">
        <f>IFERROR(INDEX(Table1[PROD ID],MATCH(INVOICE!D26,Table1[PRODUCT DESCRIPTION], 0)), "")</f>
        <v/>
      </c>
      <c r="D26" s="33"/>
      <c r="E26" s="33"/>
      <c r="F26" s="33" t="str">
        <f>_xlfn.IFNA(VLOOKUP(D26,'STOCK '!B:C,2,0),"")</f>
        <v/>
      </c>
      <c r="G26" s="33" t="str">
        <f t="shared" si="2"/>
        <v xml:space="preserve"> </v>
      </c>
      <c r="M26" s="3"/>
    </row>
    <row r="27" spans="2:13" x14ac:dyDescent="0.3">
      <c r="B27" s="33" t="str">
        <f t="shared" si="1"/>
        <v xml:space="preserve"> </v>
      </c>
      <c r="C27" s="33" t="str">
        <f>IFERROR(INDEX(Table1[PROD ID],MATCH(INVOICE!D27,Table1[PRODUCT DESCRIPTION], 0)), "")</f>
        <v/>
      </c>
      <c r="D27" s="33"/>
      <c r="E27" s="33"/>
      <c r="F27" s="33" t="str">
        <f>_xlfn.IFNA(VLOOKUP(D27,'STOCK '!B:C,2,0),"")</f>
        <v/>
      </c>
      <c r="G27" s="33" t="str">
        <f t="shared" si="2"/>
        <v xml:space="preserve"> </v>
      </c>
      <c r="M27" s="3"/>
    </row>
    <row r="28" spans="2:13" x14ac:dyDescent="0.3">
      <c r="B28" s="33" t="str">
        <f t="shared" si="1"/>
        <v xml:space="preserve"> </v>
      </c>
      <c r="C28" s="33" t="str">
        <f>IFERROR(INDEX(Table1[PROD ID],MATCH(INVOICE!D28,Table1[PRODUCT DESCRIPTION], 0)), "")</f>
        <v/>
      </c>
      <c r="D28" s="33"/>
      <c r="E28" s="33"/>
      <c r="F28" s="33" t="str">
        <f>_xlfn.IFNA(VLOOKUP(D28,'STOCK '!B:C,2,0),"")</f>
        <v/>
      </c>
      <c r="G28" s="33" t="str">
        <f t="shared" si="2"/>
        <v xml:space="preserve"> </v>
      </c>
      <c r="M28" s="3"/>
    </row>
    <row r="29" spans="2:13" x14ac:dyDescent="0.3">
      <c r="B29" s="46" t="str">
        <f>IF(ISBLANK(D29),"",B28+1)</f>
        <v/>
      </c>
      <c r="C29" s="47"/>
      <c r="D29" s="47"/>
      <c r="E29" s="48"/>
      <c r="F29" s="32" t="s">
        <v>41</v>
      </c>
      <c r="G29" s="33">
        <f>SUM(G19:G28)</f>
        <v>131200</v>
      </c>
      <c r="M29" s="3"/>
    </row>
    <row r="30" spans="2:13" x14ac:dyDescent="0.3">
      <c r="B30" s="49"/>
      <c r="C30" s="50"/>
      <c r="D30" s="50"/>
      <c r="E30" s="51"/>
      <c r="F30" s="32" t="s">
        <v>42</v>
      </c>
      <c r="G30" s="33">
        <f>G29*9%</f>
        <v>11808</v>
      </c>
      <c r="M30" s="3"/>
    </row>
    <row r="31" spans="2:13" x14ac:dyDescent="0.3">
      <c r="B31" s="49"/>
      <c r="C31" s="50"/>
      <c r="D31" s="50"/>
      <c r="E31" s="51"/>
      <c r="F31" s="32" t="s">
        <v>43</v>
      </c>
      <c r="G31" s="33">
        <f>G29*9%</f>
        <v>11808</v>
      </c>
      <c r="M31" s="3"/>
    </row>
    <row r="32" spans="2:13" x14ac:dyDescent="0.3">
      <c r="B32" s="52"/>
      <c r="C32" s="53"/>
      <c r="D32" s="53"/>
      <c r="E32" s="54"/>
      <c r="F32" s="32" t="s">
        <v>44</v>
      </c>
      <c r="G32" s="33">
        <f>G29+G30+G31</f>
        <v>154816</v>
      </c>
      <c r="M32" s="3"/>
    </row>
    <row r="34" spans="2:2" x14ac:dyDescent="0.3">
      <c r="B34" t="str">
        <f>IF(ISBLANK(D34),"",INVOICE!B32+1)</f>
        <v/>
      </c>
    </row>
    <row r="35" spans="2:2" x14ac:dyDescent="0.3">
      <c r="B35" t="str">
        <f t="shared" ref="B35:B48" si="3">IF(ISBLANK(D35),"",B34+1)</f>
        <v/>
      </c>
    </row>
    <row r="36" spans="2:2" x14ac:dyDescent="0.3">
      <c r="B36" t="str">
        <f t="shared" si="3"/>
        <v/>
      </c>
    </row>
    <row r="37" spans="2:2" x14ac:dyDescent="0.3">
      <c r="B37" t="str">
        <f t="shared" si="3"/>
        <v/>
      </c>
    </row>
    <row r="38" spans="2:2" x14ac:dyDescent="0.3">
      <c r="B38" t="str">
        <f t="shared" si="3"/>
        <v/>
      </c>
    </row>
    <row r="39" spans="2:2" x14ac:dyDescent="0.3">
      <c r="B39" t="str">
        <f t="shared" si="3"/>
        <v/>
      </c>
    </row>
    <row r="40" spans="2:2" x14ac:dyDescent="0.3">
      <c r="B40" t="str">
        <f t="shared" si="3"/>
        <v/>
      </c>
    </row>
    <row r="41" spans="2:2" x14ac:dyDescent="0.3">
      <c r="B41" t="str">
        <f t="shared" si="3"/>
        <v/>
      </c>
    </row>
    <row r="42" spans="2:2" x14ac:dyDescent="0.3">
      <c r="B42" t="str">
        <f t="shared" si="3"/>
        <v/>
      </c>
    </row>
    <row r="43" spans="2:2" x14ac:dyDescent="0.3">
      <c r="B43" t="str">
        <f t="shared" si="3"/>
        <v/>
      </c>
    </row>
    <row r="44" spans="2:2" x14ac:dyDescent="0.3">
      <c r="B44" t="str">
        <f t="shared" si="3"/>
        <v/>
      </c>
    </row>
    <row r="45" spans="2:2" x14ac:dyDescent="0.3">
      <c r="B45" t="str">
        <f t="shared" si="3"/>
        <v/>
      </c>
    </row>
    <row r="46" spans="2:2" x14ac:dyDescent="0.3">
      <c r="B46" t="str">
        <f t="shared" si="3"/>
        <v/>
      </c>
    </row>
    <row r="47" spans="2:2" x14ac:dyDescent="0.3">
      <c r="B47" t="str">
        <f t="shared" si="3"/>
        <v/>
      </c>
    </row>
    <row r="48" spans="2:2" x14ac:dyDescent="0.3">
      <c r="B48" t="str">
        <f t="shared" si="3"/>
        <v/>
      </c>
    </row>
  </sheetData>
  <mergeCells count="6">
    <mergeCell ref="B29:E32"/>
    <mergeCell ref="B2:G2"/>
    <mergeCell ref="B4:G4"/>
    <mergeCell ref="B5:G5"/>
    <mergeCell ref="B6:G6"/>
    <mergeCell ref="B3:G3"/>
  </mergeCells>
  <printOptions horizontalCentered="1" verticalCentered="1"/>
  <pageMargins left="0" right="0" top="0.39370078740157483" bottom="0.59055118110236227" header="0.39370078740157483" footer="0.59055118110236227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2" r:id="rId4" name="Button 28">
              <controlPr defaultSize="0" print="0" autoFill="0" autoPict="0" macro="[0]!SaveAsPDF">
                <anchor moveWithCells="1" sizeWithCells="1">
                  <from>
                    <xdr:col>2</xdr:col>
                    <xdr:colOff>266700</xdr:colOff>
                    <xdr:row>29</xdr:row>
                    <xdr:rowOff>45720</xdr:rowOff>
                  </from>
                  <to>
                    <xdr:col>3</xdr:col>
                    <xdr:colOff>487680</xdr:colOff>
                    <xdr:row>30</xdr:row>
                    <xdr:rowOff>91440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EE9CABA-9D9D-4F8B-9E8B-304F8FFAF5A8}">
          <x14:formula1>
            <xm:f>'STOCK '!$B$2:$B$31</xm:f>
          </x14:formula1>
          <xm:sqref>D19:D28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STOCK </vt:lpstr>
      <vt:lpstr>INVOICE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NANDHANA PRADEEP</dc:creator>
  <cp:lastModifiedBy>Nandhana Pradeep</cp:lastModifiedBy>
  <cp:lastPrinted>2025-02-01T08:24:48Z</cp:lastPrinted>
  <dcterms:created xsi:type="dcterms:W3CDTF">2024-10-22T05:19:14Z</dcterms:created>
  <dcterms:modified xsi:type="dcterms:W3CDTF">2025-02-01T08:40:03Z</dcterms:modified>
</cp:coreProperties>
</file>